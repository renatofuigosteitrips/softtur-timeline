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'Bug Tracker'!$A$1:$K$34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1C40F"/>
        <bgColor rgb="00F1C40F"/>
      </patternFill>
    </fill>
    <fill>
      <patternFill patternType="solid">
        <fgColor rgb="00ABEBC6"/>
        <bgColor rgb="00ABEBC6"/>
      </patternFill>
    </fill>
    <fill>
      <patternFill patternType="solid">
        <fgColor rgb="00E67E22"/>
        <bgColor rgb="00E67E22"/>
      </patternFill>
    </fill>
    <fill>
      <patternFill patternType="solid">
        <fgColor rgb="00FADBD8"/>
        <bgColor rgb="00FADBD8"/>
      </patternFill>
    </fill>
    <fill>
      <patternFill patternType="solid">
        <fgColor rgb="00E74C3C"/>
        <bgColor rgb="00E74C3C"/>
      </patternFill>
    </fill>
    <fill>
      <patternFill patternType="solid">
        <fgColor rgb="00AED6F1"/>
        <bgColor rgb="00AED6F1"/>
      </patternFill>
    </fill>
    <fill>
      <patternFill patternType="solid">
        <fgColor rgb="002ECC71"/>
        <bgColor rgb="002ECC71"/>
      </patternFill>
    </fill>
    <fill>
      <patternFill patternType="solid">
        <fgColor rgb="00F9E79F"/>
        <bgColor rgb="00F9E79F"/>
      </patternFill>
    </fill>
    <fill>
      <patternFill patternType="solid">
        <fgColor rgb="00D2B4DE"/>
        <bgColor rgb="00D2B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7" borderId="0" pivotButton="0" quotePrefix="0" xfId="0"/>
    <xf numFmtId="0" fontId="4" fillId="5" borderId="0" pivotButton="0" quotePrefix="0" xfId="0"/>
    <xf numFmtId="0" fontId="3" fillId="3" borderId="0" pivotButton="0" quotePrefix="0" xfId="0"/>
    <xf numFmtId="0" fontId="4" fillId="9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4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12" customWidth="1" min="3" max="3"/>
    <col width="13" customWidth="1" min="4" max="4"/>
    <col width="25" customWidth="1" min="5" max="5"/>
    <col width="10" customWidth="1" min="6" max="6"/>
    <col width="20" customWidth="1" min="7" max="7"/>
    <col width="35" customWidth="1" min="8" max="8"/>
    <col width="25" customWidth="1" min="9" max="9"/>
    <col width="8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Problema</t>
        </is>
      </c>
      <c r="C1" s="1" t="inlineStr">
        <is>
          <t>Severidade</t>
        </is>
      </c>
      <c r="D1" s="1" t="inlineStr">
        <is>
          <t>Status</t>
        </is>
      </c>
      <c r="E1" s="1" t="inlineStr">
        <is>
          <t>Reportado por</t>
        </is>
      </c>
      <c r="F1" s="1" t="inlineStr">
        <is>
          <t>Data</t>
        </is>
      </c>
      <c r="G1" s="1" t="inlineStr">
        <is>
          <t>Responsável</t>
        </is>
      </c>
      <c r="H1" s="1" t="inlineStr">
        <is>
          <t>Evidência</t>
        </is>
      </c>
      <c r="I1" s="1" t="inlineStr">
        <is>
          <t>Workaround</t>
        </is>
      </c>
      <c r="J1" s="1" t="inlineStr">
        <is>
          <t>Rodada</t>
        </is>
      </c>
      <c r="K1" s="1" t="inlineStr">
        <is>
          <t>Fontes</t>
        </is>
      </c>
    </row>
    <row r="2">
      <c r="A2" s="2" t="inlineStr">
        <is>
          <t>IMP-001</t>
        </is>
      </c>
      <c r="B2" s="2" t="inlineStr">
        <is>
          <t>Link errado no orçamento Uyuni</t>
        </is>
      </c>
      <c r="C2" s="3" t="inlineStr">
        <is>
          <t>MEDIO</t>
        </is>
      </c>
      <c r="D2" s="4" t="inlineStr">
        <is>
          <t>resolvido</t>
        </is>
      </c>
      <c r="E2" s="2" t="inlineStr">
        <is>
          <t>Sthefany</t>
        </is>
      </c>
      <c r="F2" s="2" t="inlineStr">
        <is>
          <t>07/05</t>
        </is>
      </c>
      <c r="G2" s="2" t="inlineStr">
        <is>
          <t>Marcela</t>
        </is>
      </c>
      <c r="H2" s="2" t="inlineStr">
        <is>
          <t>—</t>
        </is>
      </c>
      <c r="I2" s="2" t="inlineStr">
        <is>
          <t>Correção manual</t>
        </is>
      </c>
      <c r="J2" s="2" t="n">
        <v>1</v>
      </c>
      <c r="K2" s="2" t="inlineStr">
        <is>
          <t>IMP</t>
        </is>
      </c>
    </row>
    <row r="3">
      <c r="A3" s="2" t="inlineStr">
        <is>
          <t>IMP-002</t>
        </is>
      </c>
      <c r="B3" s="2" t="inlineStr">
        <is>
          <t>Edição silenciosa — sistema não avisa</t>
        </is>
      </c>
      <c r="C3" s="5" t="inlineStr">
        <is>
          <t>ALTO</t>
        </is>
      </c>
      <c r="D3" s="6" t="inlineStr">
        <is>
          <t>aberto</t>
        </is>
      </c>
      <c r="E3" s="2" t="inlineStr">
        <is>
          <t>Sthefany</t>
        </is>
      </c>
      <c r="F3" s="2" t="inlineStr">
        <is>
          <t>07/05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Verificação manual</t>
        </is>
      </c>
      <c r="J3" s="2" t="n">
        <v>1</v>
      </c>
      <c r="K3" s="2" t="inlineStr">
        <is>
          <t>IMP</t>
        </is>
      </c>
    </row>
    <row r="4">
      <c r="A4" s="2" t="inlineStr">
        <is>
          <t>IMP-003</t>
        </is>
      </c>
      <c r="B4" s="2" t="inlineStr">
        <is>
          <t>Pax não atualiza ao trocar tipo quarto</t>
        </is>
      </c>
      <c r="C4" s="7" t="inlineStr">
        <is>
          <t>CRITICO</t>
        </is>
      </c>
      <c r="D4" s="6" t="inlineStr">
        <is>
          <t>aberto</t>
        </is>
      </c>
      <c r="E4" s="2" t="inlineStr">
        <is>
          <t>Sthefany, Clara</t>
        </is>
      </c>
      <c r="F4" s="2" t="inlineStr">
        <is>
          <t>07/05</t>
        </is>
      </c>
      <c r="G4" s="2" t="inlineStr">
        <is>
          <t>—</t>
        </is>
      </c>
      <c r="H4" s="2" t="inlineStr">
        <is>
          <t>00003009, 00003011, 00003015, 00003035</t>
        </is>
      </c>
      <c r="I4" s="2" t="inlineStr">
        <is>
          <t>Excluir e relançar</t>
        </is>
      </c>
      <c r="J4" s="2" t="n">
        <v>1</v>
      </c>
      <c r="K4" s="2" t="inlineStr">
        <is>
          <t>IMP</t>
        </is>
      </c>
    </row>
    <row r="5">
      <c r="A5" s="2" t="inlineStr">
        <is>
          <t>IMP-004</t>
        </is>
      </c>
      <c r="B5" s="2" t="inlineStr">
        <is>
          <t>Combo MP sem datas no PDF</t>
        </is>
      </c>
      <c r="C5" s="5" t="inlineStr">
        <is>
          <t>ALTO</t>
        </is>
      </c>
      <c r="D5" s="8" t="inlineStr">
        <is>
          <t>escalado</t>
        </is>
      </c>
      <c r="E5" s="2" t="inlineStr">
        <is>
          <t>Sthefany</t>
        </is>
      </c>
      <c r="F5" s="2" t="inlineStr">
        <is>
          <t>07/05</t>
        </is>
      </c>
      <c r="G5" s="2" t="inlineStr">
        <is>
          <t>Marcela → SoftTur</t>
        </is>
      </c>
      <c r="H5" s="2" t="inlineStr">
        <is>
          <t>00003016, PDF JESSIE</t>
        </is>
      </c>
      <c r="I5" s="2" t="inlineStr">
        <is>
          <t>Nenhum</t>
        </is>
      </c>
      <c r="J5" s="2" t="n">
        <v>1</v>
      </c>
      <c r="K5" s="2" t="inlineStr">
        <is>
          <t>IMP, COM, STR</t>
        </is>
      </c>
    </row>
    <row r="6">
      <c r="A6" s="2" t="inlineStr">
        <is>
          <t>IMP-005</t>
        </is>
      </c>
      <c r="B6" s="2" t="inlineStr">
        <is>
          <t>Checkout hospedagem puxa data saída viagem</t>
        </is>
      </c>
      <c r="C6" s="7" t="inlineStr">
        <is>
          <t>CRITICO</t>
        </is>
      </c>
      <c r="D6" s="4" t="inlineStr">
        <is>
          <t>resolvido</t>
        </is>
      </c>
      <c r="E6" s="2" t="inlineStr">
        <is>
          <t>Sthefany, Ingrid, Giselle, Clara</t>
        </is>
      </c>
      <c r="F6" s="2" t="inlineStr">
        <is>
          <t>07/05</t>
        </is>
      </c>
      <c r="G6" s="2" t="inlineStr">
        <is>
          <t>Renato → SoftTur</t>
        </is>
      </c>
      <c r="H6" s="2" t="inlineStr">
        <is>
          <t>00003031, 00003035, PDF FERNANDA</t>
        </is>
      </c>
      <c r="I6" s="2" t="inlineStr">
        <is>
          <t>Resolvido 08/05</t>
        </is>
      </c>
      <c r="J6" s="2" t="n">
        <v>1</v>
      </c>
      <c r="K6" s="2" t="inlineStr">
        <is>
          <t>IMP, COM, STR</t>
        </is>
      </c>
    </row>
    <row r="7">
      <c r="A7" s="2" t="inlineStr">
        <is>
          <t>IMP-006</t>
        </is>
      </c>
      <c r="B7" s="2" t="inlineStr">
        <is>
          <t>Validação incompleta ingressos órfãos</t>
        </is>
      </c>
      <c r="C7" s="3" t="inlineStr">
        <is>
          <t>MEDIO</t>
        </is>
      </c>
      <c r="D7" s="6" t="inlineStr">
        <is>
          <t>aberto</t>
        </is>
      </c>
      <c r="E7" s="2" t="inlineStr">
        <is>
          <t>Sthefany</t>
        </is>
      </c>
      <c r="F7" s="2" t="inlineStr">
        <is>
          <t>07/05</t>
        </is>
      </c>
      <c r="G7" s="2" t="inlineStr">
        <is>
          <t>Marcela</t>
        </is>
      </c>
      <c r="H7" s="2" t="inlineStr">
        <is>
          <t>00003039</t>
        </is>
      </c>
      <c r="I7" s="2" t="inlineStr">
        <is>
          <t>Atenção manual</t>
        </is>
      </c>
      <c r="J7" s="2" t="n">
        <v>1</v>
      </c>
      <c r="K7" s="2" t="inlineStr">
        <is>
          <t>IMP, STR</t>
        </is>
      </c>
    </row>
    <row r="8">
      <c r="A8" s="2" t="inlineStr">
        <is>
          <t>IMP-007</t>
        </is>
      </c>
      <c r="B8" s="2" t="inlineStr">
        <is>
          <t>Data trem combo MP fica dia seguinte</t>
        </is>
      </c>
      <c r="C8" s="5" t="inlineStr">
        <is>
          <t>ALTO</t>
        </is>
      </c>
      <c r="D8" s="8" t="inlineStr">
        <is>
          <t>escalado</t>
        </is>
      </c>
      <c r="E8" s="2" t="inlineStr">
        <is>
          <t>Giselle</t>
        </is>
      </c>
      <c r="F8" s="2" t="inlineStr">
        <is>
          <t>07/05</t>
        </is>
      </c>
      <c r="G8" s="2" t="inlineStr">
        <is>
          <t>Marcela → SoftTur</t>
        </is>
      </c>
      <c r="H8" s="2" t="inlineStr">
        <is>
          <t>00003055, 00003062</t>
        </is>
      </c>
      <c r="I8" s="2" t="inlineStr">
        <is>
          <t>Editar data manual</t>
        </is>
      </c>
      <c r="J8" s="2" t="n">
        <v>1</v>
      </c>
      <c r="K8" s="2" t="inlineStr">
        <is>
          <t>IMP</t>
        </is>
      </c>
    </row>
    <row r="9">
      <c r="A9" s="2" t="inlineStr">
        <is>
          <t>IMP-008</t>
        </is>
      </c>
      <c r="B9" s="2" t="inlineStr">
        <is>
          <t>Link errado Uyuni/Spa (dup IMP-001)</t>
        </is>
      </c>
      <c r="C9" s="9" t="inlineStr">
        <is>
          <t>BAIXO</t>
        </is>
      </c>
      <c r="D9" s="4" t="inlineStr">
        <is>
          <t>resolvido</t>
        </is>
      </c>
      <c r="E9" s="2" t="inlineStr">
        <is>
          <t>Sthefany</t>
        </is>
      </c>
      <c r="F9" s="2" t="inlineStr">
        <is>
          <t>07/05</t>
        </is>
      </c>
      <c r="G9" s="2" t="inlineStr">
        <is>
          <t>Marcela</t>
        </is>
      </c>
      <c r="H9" s="2" t="inlineStr">
        <is>
          <t>—</t>
        </is>
      </c>
      <c r="I9" s="2" t="inlineStr">
        <is>
          <t>Dup IMP-001</t>
        </is>
      </c>
      <c r="J9" s="2" t="n">
        <v>1</v>
      </c>
      <c r="K9" s="2" t="inlineStr">
        <is>
          <t>IMP</t>
        </is>
      </c>
    </row>
    <row r="10">
      <c r="A10" s="2" t="inlineStr">
        <is>
          <t>IMP-009</t>
        </is>
      </c>
      <c r="B10" s="2" t="inlineStr">
        <is>
          <t>Upgrade Single Uyuni sem preço</t>
        </is>
      </c>
      <c r="C10" s="5" t="inlineStr">
        <is>
          <t>ALTO</t>
        </is>
      </c>
      <c r="D10" s="4" t="inlineStr">
        <is>
          <t>resolvido</t>
        </is>
      </c>
      <c r="E10" s="2" t="inlineStr">
        <is>
          <t>Danielle</t>
        </is>
      </c>
      <c r="F10" s="2" t="inlineStr">
        <is>
          <t>07/05</t>
        </is>
      </c>
      <c r="G10" s="2" t="inlineStr">
        <is>
          <t>Danilo</t>
        </is>
      </c>
      <c r="H10" s="2" t="inlineStr">
        <is>
          <t>00003120</t>
        </is>
      </c>
      <c r="I10" s="2" t="inlineStr">
        <is>
          <t>Cadastro tarifário</t>
        </is>
      </c>
      <c r="J10" s="2" t="n">
        <v>2</v>
      </c>
      <c r="K10" s="2" t="inlineStr">
        <is>
          <t>IMP</t>
        </is>
      </c>
    </row>
    <row r="11">
      <c r="A11" s="2" t="inlineStr">
        <is>
          <t>IMP-010</t>
        </is>
      </c>
      <c r="B11" s="2" t="inlineStr">
        <is>
          <t>Info ingresso não incluso ausente PDF</t>
        </is>
      </c>
      <c r="C11" s="3" t="inlineStr">
        <is>
          <t>MEDIO</t>
        </is>
      </c>
      <c r="D11" s="4" t="inlineStr">
        <is>
          <t>resolvido</t>
        </is>
      </c>
      <c r="E11" s="2" t="inlineStr">
        <is>
          <t>Larri</t>
        </is>
      </c>
      <c r="F11" s="2" t="inlineStr">
        <is>
          <t>07/05</t>
        </is>
      </c>
      <c r="G11" s="2" t="inlineStr">
        <is>
          <t>Marcela</t>
        </is>
      </c>
      <c r="H11" s="2" t="inlineStr">
        <is>
          <t>00003066, 00003075, 00003078</t>
        </is>
      </c>
      <c r="I11" s="2" t="inlineStr">
        <is>
          <t>Adicionado ao descritivo</t>
        </is>
      </c>
      <c r="J11" s="2" t="n">
        <v>2</v>
      </c>
      <c r="K11" s="2" t="inlineStr">
        <is>
          <t>IMP</t>
        </is>
      </c>
    </row>
    <row r="12">
      <c r="A12" s="2" t="inlineStr">
        <is>
          <t>IMP-011</t>
        </is>
      </c>
      <c r="B12" s="2" t="inlineStr">
        <is>
          <t>Dia Livre/Bloqueado não encontrados</t>
        </is>
      </c>
      <c r="C12" s="5" t="inlineStr">
        <is>
          <t>ALTO</t>
        </is>
      </c>
      <c r="D12" s="4" t="inlineStr">
        <is>
          <t>resolvido</t>
        </is>
      </c>
      <c r="E12" s="2" t="inlineStr">
        <is>
          <t>Sthefany, Beatriz</t>
        </is>
      </c>
      <c r="F12" s="2" t="inlineStr">
        <is>
          <t>07/05</t>
        </is>
      </c>
      <c r="G12" s="2" t="inlineStr">
        <is>
          <t>Marcela/Danilo</t>
        </is>
      </c>
      <c r="H12" s="2" t="inlineStr">
        <is>
          <t>00003084, 00003086, 00003326, 00003327, 00003335</t>
        </is>
      </c>
      <c r="I12" s="2" t="inlineStr">
        <is>
          <t>Dia Bloqueado temporário</t>
        </is>
      </c>
      <c r="J12" s="2" t="n">
        <v>2</v>
      </c>
      <c r="K12" s="2" t="inlineStr">
        <is>
          <t>IMP</t>
        </is>
      </c>
    </row>
    <row r="13">
      <c r="A13" s="2" t="inlineStr">
        <is>
          <t>IMP-012</t>
        </is>
      </c>
      <c r="B13" s="2" t="inlineStr">
        <is>
          <t>Período branco/meia-noite tours PDF</t>
        </is>
      </c>
      <c r="C13" s="3" t="inlineStr">
        <is>
          <t>MEDIO</t>
        </is>
      </c>
      <c r="D13" s="6" t="inlineStr">
        <is>
          <t>aberto</t>
        </is>
      </c>
      <c r="E13" s="2" t="inlineStr">
        <is>
          <t>Sthefany, Beatriz</t>
        </is>
      </c>
      <c r="F13" s="2" t="inlineStr">
        <is>
          <t>07/05</t>
        </is>
      </c>
      <c r="G13" s="2" t="inlineStr">
        <is>
          <t>Marcela</t>
        </is>
      </c>
      <c r="H13" s="2" t="inlineStr">
        <is>
          <t>00003134, 00003242, 00003243</t>
        </is>
      </c>
      <c r="I13" s="2" t="inlineStr">
        <is>
          <t>Nenhum</t>
        </is>
      </c>
      <c r="J13" s="2" t="n">
        <v>2</v>
      </c>
      <c r="K13" s="2" t="inlineStr">
        <is>
          <t>IMP, COM, STR</t>
        </is>
      </c>
    </row>
    <row r="14">
      <c r="A14" s="2" t="inlineStr">
        <is>
          <t>IMP-013</t>
        </is>
      </c>
      <c r="B14" s="2" t="inlineStr">
        <is>
          <t>Acentos ausentes Notas Importantes PDF</t>
        </is>
      </c>
      <c r="C14" s="9" t="inlineStr">
        <is>
          <t>BAIXO</t>
        </is>
      </c>
      <c r="D14" s="6" t="inlineStr">
        <is>
          <t>aberto</t>
        </is>
      </c>
      <c r="E14" s="2" t="inlineStr">
        <is>
          <t>Sthefany</t>
        </is>
      </c>
      <c r="F14" s="2" t="inlineStr">
        <is>
          <t>07/05</t>
        </is>
      </c>
      <c r="G14" s="2" t="inlineStr">
        <is>
          <t>Marcela</t>
        </is>
      </c>
      <c r="H14" s="2" t="inlineStr">
        <is>
          <t>00003096</t>
        </is>
      </c>
      <c r="I14" s="2" t="inlineStr">
        <is>
          <t>Nenhum</t>
        </is>
      </c>
      <c r="J14" s="2" t="n">
        <v>2</v>
      </c>
      <c r="K14" s="2" t="inlineStr">
        <is>
          <t>IMP, COM</t>
        </is>
      </c>
    </row>
    <row r="15">
      <c r="A15" s="2" t="inlineStr">
        <is>
          <t>IMP-014</t>
        </is>
      </c>
      <c r="B15" s="2" t="inlineStr">
        <is>
          <t>Link bit.ly em vez do site FGT</t>
        </is>
      </c>
      <c r="C15" s="9" t="inlineStr">
        <is>
          <t>BAIXO</t>
        </is>
      </c>
      <c r="D15" s="6" t="inlineStr">
        <is>
          <t>aberto</t>
        </is>
      </c>
      <c r="E15" s="2" t="inlineStr">
        <is>
          <t>Sthefany</t>
        </is>
      </c>
      <c r="F15" s="2" t="inlineStr">
        <is>
          <t>07/05</t>
        </is>
      </c>
      <c r="G15" s="2" t="inlineStr">
        <is>
          <t>Marcela</t>
        </is>
      </c>
      <c r="H15" s="2" t="inlineStr">
        <is>
          <t>00003096</t>
        </is>
      </c>
      <c r="I15" s="2" t="inlineStr">
        <is>
          <t>Nenhum</t>
        </is>
      </c>
      <c r="J15" s="2" t="n">
        <v>2</v>
      </c>
      <c r="K15" s="2" t="inlineStr">
        <is>
          <t>IMP, COM</t>
        </is>
      </c>
    </row>
    <row r="16">
      <c r="A16" s="2" t="inlineStr">
        <is>
          <t>IMP-015</t>
        </is>
      </c>
      <c r="B16" s="2" t="inlineStr">
        <is>
          <t>Erros grafia descritivo interno</t>
        </is>
      </c>
      <c r="C16" s="9" t="inlineStr">
        <is>
          <t>BAIXO</t>
        </is>
      </c>
      <c r="D16" s="6" t="inlineStr">
        <is>
          <t>aberto</t>
        </is>
      </c>
      <c r="E16" s="2" t="inlineStr">
        <is>
          <t>Sam, Giselle</t>
        </is>
      </c>
      <c r="F16" s="2" t="inlineStr">
        <is>
          <t>07/05</t>
        </is>
      </c>
      <c r="G16" s="2" t="inlineStr">
        <is>
          <t>Marcela</t>
        </is>
      </c>
      <c r="H16" s="2" t="inlineStr">
        <is>
          <t>00003099</t>
        </is>
      </c>
      <c r="I16" s="2" t="inlineStr">
        <is>
          <t>Nenhum</t>
        </is>
      </c>
      <c r="J16" s="2" t="n">
        <v>2</v>
      </c>
      <c r="K16" s="2" t="inlineStr">
        <is>
          <t>IMP</t>
        </is>
      </c>
    </row>
    <row r="17">
      <c r="A17" s="2" t="inlineStr">
        <is>
          <t>IMP-016</t>
        </is>
      </c>
      <c r="B17" s="2" t="inlineStr">
        <is>
          <t>Erro checkout impede adicionar tours</t>
        </is>
      </c>
      <c r="C17" s="5" t="inlineStr">
        <is>
          <t>ALTO</t>
        </is>
      </c>
      <c r="D17" s="4" t="inlineStr">
        <is>
          <t>resolvido</t>
        </is>
      </c>
      <c r="E17" s="2" t="inlineStr">
        <is>
          <t>Giselle</t>
        </is>
      </c>
      <c r="F17" s="2" t="inlineStr">
        <is>
          <t>07/05</t>
        </is>
      </c>
      <c r="G17" s="2" t="inlineStr">
        <is>
          <t>SoftTur</t>
        </is>
      </c>
      <c r="H17" s="2" t="inlineStr">
        <is>
          <t>00003109</t>
        </is>
      </c>
      <c r="I17" s="2" t="inlineStr">
        <is>
          <t>Resolvido c/ IMP-005</t>
        </is>
      </c>
      <c r="J17" s="2" t="n">
        <v>2</v>
      </c>
      <c r="K17" s="2" t="inlineStr">
        <is>
          <t>IMP</t>
        </is>
      </c>
    </row>
    <row r="18">
      <c r="A18" s="2" t="inlineStr">
        <is>
          <t>IMP-017</t>
        </is>
      </c>
      <c r="B18" s="2" t="inlineStr">
        <is>
          <t>Itens fora de ordem no PDF após edição</t>
        </is>
      </c>
      <c r="C18" s="5" t="inlineStr">
        <is>
          <t>ALTO</t>
        </is>
      </c>
      <c r="D18" s="10" t="inlineStr">
        <is>
          <t>em-analise</t>
        </is>
      </c>
      <c r="E18" s="2" t="inlineStr">
        <is>
          <t>Beatriz, Giselle, Sthefany</t>
        </is>
      </c>
      <c r="F18" s="2" t="inlineStr">
        <is>
          <t>07-08/05</t>
        </is>
      </c>
      <c r="G18" s="2" t="inlineStr">
        <is>
          <t>Danilo → SoftTur</t>
        </is>
      </c>
      <c r="H18" s="2" t="inlineStr">
        <is>
          <t>00003137, 00003296-98</t>
        </is>
      </c>
      <c r="I18" s="2" t="inlineStr">
        <is>
          <t>Refazer orçamento</t>
        </is>
      </c>
      <c r="J18" s="2" t="n">
        <v>2</v>
      </c>
      <c r="K18" s="2" t="inlineStr">
        <is>
          <t>IMP, STR</t>
        </is>
      </c>
    </row>
    <row r="19">
      <c r="A19" s="2" t="inlineStr">
        <is>
          <t>IMP-018</t>
        </is>
      </c>
      <c r="B19" s="2" t="inlineStr">
        <is>
          <t>Erro 500 Server Error Crystal Reports</t>
        </is>
      </c>
      <c r="C19" s="7" t="inlineStr">
        <is>
          <t>CRITICO</t>
        </is>
      </c>
      <c r="D19" s="4" t="inlineStr">
        <is>
          <t>resolvido</t>
        </is>
      </c>
      <c r="E19" s="2" t="inlineStr">
        <is>
          <t>Sam, Danielle</t>
        </is>
      </c>
      <c r="F19" s="2" t="inlineStr">
        <is>
          <t>07/05</t>
        </is>
      </c>
      <c r="G19" s="2" t="inlineStr">
        <is>
          <t>Danilo → SoftTur</t>
        </is>
      </c>
      <c r="H19" s="2" t="inlineStr">
        <is>
          <t>00003152, 00003156, 00003163, 00003167</t>
        </is>
      </c>
      <c r="I19" s="2" t="inlineStr">
        <is>
          <t>Resolvido mesma noite</t>
        </is>
      </c>
      <c r="J19" s="2" t="n">
        <v>2</v>
      </c>
      <c r="K19" s="2" t="inlineStr">
        <is>
          <t>IMP, STR</t>
        </is>
      </c>
    </row>
    <row r="20">
      <c r="A20" s="2" t="inlineStr">
        <is>
          <t>IMP-019</t>
        </is>
      </c>
      <c r="B20" s="2" t="inlineStr">
        <is>
          <t>Valor ingressos picado/incompleto PDF</t>
        </is>
      </c>
      <c r="C20" s="3" t="inlineStr">
        <is>
          <t>MEDIO</t>
        </is>
      </c>
      <c r="D20" s="4" t="inlineStr">
        <is>
          <t>resolvido</t>
        </is>
      </c>
      <c r="E20" s="2" t="inlineStr">
        <is>
          <t>Sthefany</t>
        </is>
      </c>
      <c r="F20" s="2" t="inlineStr">
        <is>
          <t>08/05</t>
        </is>
      </c>
      <c r="G20" s="2" t="inlineStr">
        <is>
          <t>Marcela</t>
        </is>
      </c>
      <c r="H20" s="2" t="inlineStr">
        <is>
          <t>00003205, 00003209, 00003212</t>
        </is>
      </c>
      <c r="I20" s="2" t="inlineStr">
        <is>
          <t>Atualizado cadastro</t>
        </is>
      </c>
      <c r="J20" s="2" t="n">
        <v>2</v>
      </c>
      <c r="K20" s="2" t="inlineStr">
        <is>
          <t>IMP, STR</t>
        </is>
      </c>
    </row>
    <row r="21">
      <c r="A21" s="2" t="inlineStr">
        <is>
          <t>IMP-020</t>
        </is>
      </c>
      <c r="B21" s="2" t="inlineStr">
        <is>
          <t>Pax total vs por quarto no PDF</t>
        </is>
      </c>
      <c r="C21" s="7" t="inlineStr">
        <is>
          <t>CRITICO</t>
        </is>
      </c>
      <c r="D21" s="8" t="inlineStr">
        <is>
          <t>escalado</t>
        </is>
      </c>
      <c r="E21" s="2" t="inlineStr">
        <is>
          <t>Sthefany</t>
        </is>
      </c>
      <c r="F21" s="2" t="inlineStr">
        <is>
          <t>08/05</t>
        </is>
      </c>
      <c r="G21" s="2" t="inlineStr">
        <is>
          <t>Marcela → SoftTur</t>
        </is>
      </c>
      <c r="H21" s="2" t="inlineStr">
        <is>
          <t>00003234, 00003240, 00003241</t>
        </is>
      </c>
      <c r="I21" s="2" t="inlineStr">
        <is>
          <t>Nenhum</t>
        </is>
      </c>
      <c r="J21" s="2" t="n">
        <v>2</v>
      </c>
      <c r="K21" s="2" t="inlineStr">
        <is>
          <t>IMP</t>
        </is>
      </c>
    </row>
    <row r="22">
      <c r="A22" s="2" t="inlineStr">
        <is>
          <t>IMP-021</t>
        </is>
      </c>
      <c r="B22" s="2" t="inlineStr">
        <is>
          <t>Total geral desaparece do PDF</t>
        </is>
      </c>
      <c r="C22" s="7" t="inlineStr">
        <is>
          <t>CRITICO</t>
        </is>
      </c>
      <c r="D22" s="4" t="inlineStr">
        <is>
          <t>resolvido</t>
        </is>
      </c>
      <c r="E22" s="2" t="inlineStr">
        <is>
          <t>Giselle, Sam</t>
        </is>
      </c>
      <c r="F22" s="2" t="inlineStr">
        <is>
          <t>08/05</t>
        </is>
      </c>
      <c r="G22" s="2" t="inlineStr">
        <is>
          <t>Danilo → SoftTur</t>
        </is>
      </c>
      <c r="H22" s="2" t="inlineStr">
        <is>
          <t>00003246, PDFs</t>
        </is>
      </c>
      <c r="I22" s="2" t="inlineStr">
        <is>
          <t>Resolvido mesmo dia</t>
        </is>
      </c>
      <c r="J22" s="2" t="n">
        <v>2</v>
      </c>
      <c r="K22" s="2" t="inlineStr">
        <is>
          <t>IMP, STR</t>
        </is>
      </c>
    </row>
    <row r="23">
      <c r="A23" s="2" t="inlineStr">
        <is>
          <t>IMP-022</t>
        </is>
      </c>
      <c r="B23" s="2" t="inlineStr">
        <is>
          <t>Dados contato ausentes no PDF</t>
        </is>
      </c>
      <c r="C23" s="3" t="inlineStr">
        <is>
          <t>MEDIO</t>
        </is>
      </c>
      <c r="D23" s="6" t="inlineStr">
        <is>
          <t>aberto</t>
        </is>
      </c>
      <c r="E23" s="2" t="inlineStr">
        <is>
          <t>Beatriz</t>
        </is>
      </c>
      <c r="F23" s="2" t="inlineStr">
        <is>
          <t>07-09/05</t>
        </is>
      </c>
      <c r="G23" s="2" t="inlineStr">
        <is>
          <t>Danilo</t>
        </is>
      </c>
      <c r="H23" s="2" t="inlineStr">
        <is>
          <t>00003332</t>
        </is>
      </c>
      <c r="I23" s="2" t="inlineStr">
        <is>
          <t>Nenhum</t>
        </is>
      </c>
      <c r="J23" s="2" t="n">
        <v>2</v>
      </c>
      <c r="K23" s="2" t="inlineStr">
        <is>
          <t>IMP, STR</t>
        </is>
      </c>
    </row>
    <row r="24">
      <c r="A24" s="2" t="inlineStr">
        <is>
          <t>IMP-023</t>
        </is>
      </c>
      <c r="B24" s="2" t="inlineStr">
        <is>
          <t>Número orçamento zerado antes finalizar</t>
        </is>
      </c>
      <c r="C24" s="3" t="inlineStr">
        <is>
          <t>MEDIO</t>
        </is>
      </c>
      <c r="D24" s="6" t="inlineStr">
        <is>
          <t>aberto</t>
        </is>
      </c>
      <c r="E24" s="2" t="inlineStr">
        <is>
          <t>Beatriz</t>
        </is>
      </c>
      <c r="F24" s="2" t="inlineStr">
        <is>
          <t>09/05</t>
        </is>
      </c>
      <c r="G24" s="2" t="inlineStr">
        <is>
          <t>—</t>
        </is>
      </c>
      <c r="H24" s="2" t="inlineStr">
        <is>
          <t>00003328, 00003329</t>
        </is>
      </c>
      <c r="I24" s="2" t="inlineStr">
        <is>
          <t>Finalizar p/ obter nº</t>
        </is>
      </c>
      <c r="J24" s="2" t="n">
        <v>2</v>
      </c>
      <c r="K24" s="2" t="inlineStr">
        <is>
          <t>IMP</t>
        </is>
      </c>
    </row>
    <row r="25">
      <c r="A25" s="2" t="inlineStr">
        <is>
          <t>IMP-024</t>
        </is>
      </c>
      <c r="B25" s="2" t="inlineStr">
        <is>
          <t>Ingresso Termas 'não incluso' mesmo estando</t>
        </is>
      </c>
      <c r="C25" s="5" t="inlineStr">
        <is>
          <t>ALTO</t>
        </is>
      </c>
      <c r="D25" s="6" t="inlineStr">
        <is>
          <t>aberto</t>
        </is>
      </c>
      <c r="E25" s="2" t="inlineStr">
        <is>
          <t>Ingrid</t>
        </is>
      </c>
      <c r="F25" s="2" t="inlineStr">
        <is>
          <t>09/05</t>
        </is>
      </c>
      <c r="G25" s="2" t="inlineStr">
        <is>
          <t>—</t>
        </is>
      </c>
      <c r="H25" s="2" t="inlineStr">
        <is>
          <t>00003336, 00003337</t>
        </is>
      </c>
      <c r="I25" s="2" t="inlineStr">
        <is>
          <t>Nenhum</t>
        </is>
      </c>
      <c r="J25" s="2" t="n">
        <v>2</v>
      </c>
      <c r="K25" s="2" t="inlineStr">
        <is>
          <t>IMP</t>
        </is>
      </c>
    </row>
    <row r="26">
      <c r="A26" s="2" t="inlineStr">
        <is>
          <t>IMP-025</t>
        </is>
      </c>
      <c r="B26" s="2" t="inlineStr">
        <is>
          <t>Sugestões melhoria UX/layout PDF</t>
        </is>
      </c>
      <c r="C26" s="9" t="inlineStr">
        <is>
          <t>BAIXO</t>
        </is>
      </c>
      <c r="D26" s="6" t="inlineStr">
        <is>
          <t>aberto</t>
        </is>
      </c>
      <c r="E26" s="2" t="inlineStr">
        <is>
          <t>Sthefany, Danilo</t>
        </is>
      </c>
      <c r="F26" s="2" t="inlineStr">
        <is>
          <t>07-08/05</t>
        </is>
      </c>
      <c r="G26" s="2" t="inlineStr">
        <is>
          <t>Danilo/Marcela</t>
        </is>
      </c>
      <c r="H26" s="2" t="inlineStr">
        <is>
          <t>00003103, 00003108</t>
        </is>
      </c>
      <c r="I26" s="2" t="inlineStr">
        <is>
          <t>N/A — melhorias</t>
        </is>
      </c>
      <c r="J26" s="2" t="n">
        <v>2</v>
      </c>
      <c r="K26" s="2" t="inlineStr">
        <is>
          <t>IMP, COM, STR</t>
        </is>
      </c>
    </row>
    <row r="27">
      <c r="A27" s="2" t="inlineStr">
        <is>
          <t>IMP-026</t>
        </is>
      </c>
      <c r="B27" s="2" t="inlineStr">
        <is>
          <t>Vendas La Paz não aparecem no SoftTur</t>
        </is>
      </c>
      <c r="C27" s="5" t="inlineStr">
        <is>
          <t>ALTO</t>
        </is>
      </c>
      <c r="D27" s="6" t="inlineStr">
        <is>
          <t>aberto</t>
        </is>
      </c>
      <c r="E27" s="2" t="inlineStr">
        <is>
          <t>Rafaela</t>
        </is>
      </c>
      <c r="F27" s="2" t="inlineStr">
        <is>
          <t>07/05</t>
        </is>
      </c>
      <c r="G27" s="2" t="inlineStr">
        <is>
          <t>Danilo</t>
        </is>
      </c>
      <c r="H27" s="2" t="inlineStr">
        <is>
          <t>—</t>
        </is>
      </c>
      <c r="I27" s="2" t="inlineStr">
        <is>
          <t>Verificação manual</t>
        </is>
      </c>
      <c r="J27" s="2" t="n">
        <v>3</v>
      </c>
      <c r="K27" s="2" t="inlineStr">
        <is>
          <t>COM</t>
        </is>
      </c>
    </row>
    <row r="28">
      <c r="A28" s="2" t="inlineStr">
        <is>
          <t>IMP-027</t>
        </is>
      </c>
      <c r="B28" s="2" t="inlineStr">
        <is>
          <t>Resultado zerado — despesas sem valor</t>
        </is>
      </c>
      <c r="C28" s="5" t="inlineStr">
        <is>
          <t>ALTO</t>
        </is>
      </c>
      <c r="D28" s="8" t="inlineStr">
        <is>
          <t>escalado</t>
        </is>
      </c>
      <c r="E28" s="2" t="inlineStr">
        <is>
          <t>Rafaela, Danilo</t>
        </is>
      </c>
      <c r="F28" s="2" t="inlineStr">
        <is>
          <t>08/05</t>
        </is>
      </c>
      <c r="G28" s="2" t="inlineStr">
        <is>
          <t>Danilo → SoftTur</t>
        </is>
      </c>
      <c r="H28" s="2" t="inlineStr">
        <is>
          <t>00001153, 00000712</t>
        </is>
      </c>
      <c r="I28" s="2" t="inlineStr">
        <is>
          <t>Verificar O.S.</t>
        </is>
      </c>
      <c r="J28" s="2" t="n">
        <v>3</v>
      </c>
      <c r="K28" s="2" t="inlineStr">
        <is>
          <t>COM, STR</t>
        </is>
      </c>
    </row>
    <row r="29">
      <c r="A29" s="2" t="inlineStr">
        <is>
          <t>IMP-028</t>
        </is>
      </c>
      <c r="B29" s="2" t="inlineStr">
        <is>
          <t>Nomes duplicados impedem tours privados</t>
        </is>
      </c>
      <c r="C29" s="3" t="inlineStr">
        <is>
          <t>MEDIO</t>
        </is>
      </c>
      <c r="D29" s="6" t="inlineStr">
        <is>
          <t>aberto</t>
        </is>
      </c>
      <c r="E29" s="2" t="inlineStr">
        <is>
          <t>Felipe</t>
        </is>
      </c>
      <c r="F29" s="2" t="inlineStr">
        <is>
          <t>08/05</t>
        </is>
      </c>
      <c r="G29" s="2" t="inlineStr">
        <is>
          <t>Felipe/Marcela</t>
        </is>
      </c>
      <c r="H29" s="2" t="inlineStr">
        <is>
          <t>00001174</t>
        </is>
      </c>
      <c r="I29" s="2" t="inlineStr">
        <is>
          <t>Adicionar 'Privado' ao nome</t>
        </is>
      </c>
      <c r="J29" s="2" t="n">
        <v>3</v>
      </c>
      <c r="K29" s="2" t="inlineStr">
        <is>
          <t>COM</t>
        </is>
      </c>
    </row>
    <row r="30">
      <c r="A30" s="2" t="inlineStr">
        <is>
          <t>IMP-029</t>
        </is>
      </c>
      <c r="B30" s="2" t="inlineStr">
        <is>
          <t>TAB SOFT não puxa tours</t>
        </is>
      </c>
      <c r="C30" s="5" t="inlineStr">
        <is>
          <t>ALTO</t>
        </is>
      </c>
      <c r="D30" s="11" t="inlineStr">
        <is>
          <t>workaround</t>
        </is>
      </c>
      <c r="E30" s="2" t="inlineStr">
        <is>
          <t>Marcela</t>
        </is>
      </c>
      <c r="F30" s="2" t="inlineStr">
        <is>
          <t>08/05</t>
        </is>
      </c>
      <c r="G30" s="2" t="inlineStr">
        <is>
          <t>Renato</t>
        </is>
      </c>
      <c r="H30" s="2" t="inlineStr">
        <is>
          <t>00001175</t>
        </is>
      </c>
      <c r="I30" s="2" t="inlineStr">
        <is>
          <t>Usar Tab11</t>
        </is>
      </c>
      <c r="J30" s="2" t="n">
        <v>3</v>
      </c>
      <c r="K30" s="2" t="inlineStr">
        <is>
          <t>COM</t>
        </is>
      </c>
    </row>
    <row r="31">
      <c r="A31" s="2" t="inlineStr">
        <is>
          <t>IMP-030</t>
        </is>
      </c>
      <c r="B31" s="2" t="inlineStr">
        <is>
          <t>Link Notion no PDF não clicável</t>
        </is>
      </c>
      <c r="C31" s="9" t="inlineStr">
        <is>
          <t>BAIXO</t>
        </is>
      </c>
      <c r="D31" s="8" t="inlineStr">
        <is>
          <t>escalado</t>
        </is>
      </c>
      <c r="E31" s="2" t="inlineStr">
        <is>
          <t>Danilo, Rafaela</t>
        </is>
      </c>
      <c r="F31" s="2" t="inlineStr">
        <is>
          <t>08/05</t>
        </is>
      </c>
      <c r="G31" s="2" t="inlineStr">
        <is>
          <t>Marcela → SoftTur</t>
        </is>
      </c>
      <c r="H31" s="2" t="inlineStr">
        <is>
          <t>—</t>
        </is>
      </c>
      <c r="I31" s="2" t="inlineStr">
        <is>
          <t>Copiar manualmente</t>
        </is>
      </c>
      <c r="J31" s="2" t="n">
        <v>3</v>
      </c>
      <c r="K31" s="2" t="inlineStr">
        <is>
          <t>COM</t>
        </is>
      </c>
    </row>
    <row r="32">
      <c r="A32" s="2" t="inlineStr">
        <is>
          <t>IMP-031</t>
        </is>
      </c>
      <c r="B32" s="2" t="inlineStr">
        <is>
          <t>Desconto aplica-se a ingressos</t>
        </is>
      </c>
      <c r="C32" s="3" t="inlineStr">
        <is>
          <t>MEDIO</t>
        </is>
      </c>
      <c r="D32" s="10" t="inlineStr">
        <is>
          <t>em-analise</t>
        </is>
      </c>
      <c r="E32" s="2" t="inlineStr">
        <is>
          <t>Danilo</t>
        </is>
      </c>
      <c r="F32" s="2" t="inlineStr">
        <is>
          <t>07/05</t>
        </is>
      </c>
      <c r="G32" s="2" t="inlineStr">
        <is>
          <t>SoftTur</t>
        </is>
      </c>
      <c r="H32" s="2" t="inlineStr">
        <is>
          <t>00000648</t>
        </is>
      </c>
      <c r="I32" s="2" t="inlineStr">
        <is>
          <t>Selecionar item a item</t>
        </is>
      </c>
      <c r="J32" s="2" t="n">
        <v>3</v>
      </c>
      <c r="K32" s="2" t="inlineStr">
        <is>
          <t>STR</t>
        </is>
      </c>
    </row>
    <row r="33">
      <c r="A33" s="2" t="inlineStr">
        <is>
          <t>IMP-032</t>
        </is>
      </c>
      <c r="B33" s="2" t="inlineStr">
        <is>
          <t>Contas USD/BRL Nautt não separadas</t>
        </is>
      </c>
      <c r="C33" s="3" t="inlineStr">
        <is>
          <t>MEDIO</t>
        </is>
      </c>
      <c r="D33" s="6" t="inlineStr">
        <is>
          <t>aberto</t>
        </is>
      </c>
      <c r="E33" s="2" t="inlineStr">
        <is>
          <t>Rafaela</t>
        </is>
      </c>
      <c r="F33" s="2" t="inlineStr">
        <is>
          <t>08/05</t>
        </is>
      </c>
      <c r="G33" s="2" t="inlineStr">
        <is>
          <t>Rafaela/SoftTur</t>
        </is>
      </c>
      <c r="H33" s="2" t="inlineStr">
        <is>
          <t>—</t>
        </is>
      </c>
      <c r="I33" s="2" t="inlineStr">
        <is>
          <t>Conversão manual</t>
        </is>
      </c>
      <c r="J33" s="2" t="n">
        <v>3</v>
      </c>
      <c r="K33" s="2" t="inlineStr">
        <is>
          <t>STR</t>
        </is>
      </c>
    </row>
    <row r="34">
      <c r="A34" s="2" t="inlineStr">
        <is>
          <t>IMP-033</t>
        </is>
      </c>
      <c r="B34" s="2" t="inlineStr">
        <is>
          <t>Tarifário privado anual vs sazonal</t>
        </is>
      </c>
      <c r="C34" s="3" t="inlineStr">
        <is>
          <t>MEDIO</t>
        </is>
      </c>
      <c r="D34" s="8" t="inlineStr">
        <is>
          <t>escalado</t>
        </is>
      </c>
      <c r="E34" s="2" t="inlineStr">
        <is>
          <t>Marcela</t>
        </is>
      </c>
      <c r="F34" s="2" t="inlineStr">
        <is>
          <t>09/05</t>
        </is>
      </c>
      <c r="G34" s="2" t="inlineStr">
        <is>
          <t>Marcela → SoftTur</t>
        </is>
      </c>
      <c r="H34" s="2" t="inlineStr">
        <is>
          <t>00001245, 00001246</t>
        </is>
      </c>
      <c r="I34" s="2" t="inlineStr">
        <is>
          <t>Aguardando SoftTur</t>
        </is>
      </c>
      <c r="J34" s="2" t="n">
        <v>3</v>
      </c>
      <c r="K34" s="2" t="inlineStr">
        <is>
          <t>COM</t>
        </is>
      </c>
    </row>
  </sheetData>
  <autoFilter ref="A1:K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2" t="inlineStr">
        <is>
          <t>Resumo por Severidade</t>
        </is>
      </c>
    </row>
    <row r="2">
      <c r="A2" s="13" t="inlineStr">
        <is>
          <t>Severidade</t>
        </is>
      </c>
      <c r="B2" s="13" t="inlineStr">
        <is>
          <t>Qtd</t>
        </is>
      </c>
    </row>
    <row r="3">
      <c r="A3" s="14" t="inlineStr">
        <is>
          <t>CRITICO</t>
        </is>
      </c>
      <c r="B3">
        <f>COUNTIF('Bug Tracker'!C:C,"CRITICO")</f>
        <v/>
      </c>
    </row>
    <row r="4">
      <c r="A4" s="15" t="inlineStr">
        <is>
          <t>ALTO</t>
        </is>
      </c>
      <c r="B4">
        <f>COUNTIF('Bug Tracker'!C:C,"ALTO")</f>
        <v/>
      </c>
    </row>
    <row r="5">
      <c r="A5" s="16" t="inlineStr">
        <is>
          <t>MEDIO</t>
        </is>
      </c>
      <c r="B5">
        <f>COUNTIF('Bug Tracker'!C:C,"MEDIO")</f>
        <v/>
      </c>
    </row>
    <row r="6">
      <c r="A6" s="17" t="inlineStr">
        <is>
          <t>BAIXO</t>
        </is>
      </c>
      <c r="B6">
        <f>COUNTIF('Bug Tracker'!C:C,"BAIXO")</f>
        <v/>
      </c>
    </row>
    <row r="8">
      <c r="A8" s="12" t="inlineStr">
        <is>
          <t>Resumo por Status</t>
        </is>
      </c>
    </row>
    <row r="9">
      <c r="A9" s="13" t="inlineStr">
        <is>
          <t>Status</t>
        </is>
      </c>
      <c r="B9" s="13" t="inlineStr">
        <is>
          <t>Qtd</t>
        </is>
      </c>
    </row>
    <row r="10">
      <c r="A10" s="18" t="inlineStr">
        <is>
          <t>aberto</t>
        </is>
      </c>
      <c r="B10">
        <f>COUNTIF('Bug Tracker'!D:D,"aberto")</f>
        <v/>
      </c>
    </row>
    <row r="11">
      <c r="A11" s="19" t="inlineStr">
        <is>
          <t>escalado</t>
        </is>
      </c>
      <c r="B11">
        <f>COUNTIF('Bug Tracker'!D:D,"escalado")</f>
        <v/>
      </c>
    </row>
    <row r="12">
      <c r="A12" s="20" t="inlineStr">
        <is>
          <t>em-analise</t>
        </is>
      </c>
      <c r="B12">
        <f>COUNTIF('Bug Tracker'!D:D,"em-analise")</f>
        <v/>
      </c>
    </row>
    <row r="13">
      <c r="A13" s="21" t="inlineStr">
        <is>
          <t>resolvido</t>
        </is>
      </c>
      <c r="B13">
        <f>COUNTIF('Bug Tracker'!D:D,"resolvido")</f>
        <v/>
      </c>
    </row>
    <row r="14">
      <c r="A14" s="22" t="inlineStr">
        <is>
          <t>workaround</t>
        </is>
      </c>
      <c r="B14">
        <f>COUNTIF('Bug Tracker'!D:D,"workaround")</f>
        <v/>
      </c>
    </row>
    <row r="16">
      <c r="A16" s="12" t="inlineStr">
        <is>
          <t>Resumo por Rodada</t>
        </is>
      </c>
    </row>
    <row r="17">
      <c r="A17" s="13" t="inlineStr">
        <is>
          <t>Rodada</t>
        </is>
      </c>
      <c r="B17" s="13" t="inlineStr">
        <is>
          <t>Qtd</t>
        </is>
      </c>
    </row>
    <row r="18">
      <c r="A18" t="inlineStr">
        <is>
          <t>Rodada 1</t>
        </is>
      </c>
      <c r="B18">
        <f>COUNTIF('Bug Tracker'!J:J,1)</f>
        <v/>
      </c>
    </row>
    <row r="19">
      <c r="A19" t="inlineStr">
        <is>
          <t>Rodada 2</t>
        </is>
      </c>
      <c r="B19">
        <f>COUNTIF('Bug Tracker'!J:J,2)</f>
        <v/>
      </c>
    </row>
    <row r="20">
      <c r="A20" t="inlineStr">
        <is>
          <t>Rodada 3</t>
        </is>
      </c>
      <c r="B20">
        <f>COUNTIF('Bug Tracker'!J:J,3)</f>
        <v/>
      </c>
    </row>
    <row r="22">
      <c r="A22" s="12" t="inlineStr">
        <is>
          <t>Resumo por Fonte</t>
        </is>
      </c>
    </row>
    <row r="23">
      <c r="A23" s="13" t="inlineStr">
        <is>
          <t>Fonte</t>
        </is>
      </c>
      <c r="B23" s="13" t="inlineStr">
        <is>
          <t>Qtd Bugs</t>
        </is>
      </c>
    </row>
    <row r="24">
      <c r="A24" t="inlineStr">
        <is>
          <t>IMP</t>
        </is>
      </c>
      <c r="B24">
        <f>COUNTIF('Bug Tracker'!K:K,"*IMP*")</f>
        <v/>
      </c>
    </row>
    <row r="25">
      <c r="A25" t="inlineStr">
        <is>
          <t>COM</t>
        </is>
      </c>
      <c r="B25">
        <f>COUNTIF('Bug Tracker'!K:K,"*COM*")</f>
        <v/>
      </c>
    </row>
    <row r="26">
      <c r="A26" t="inlineStr">
        <is>
          <t>STR</t>
        </is>
      </c>
      <c r="B26">
        <f>COUNTIF('Bug Tracker'!K:K,"*STR*")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2026-05-10T11:09:26Z</dcterms:created>
  <dcterms:modified xmlns:dcterms="http://purl.org/dc/terms/" xmlns:xsi="http://www.w3.org/2001/XMLSchema-instance" xsi:type="dcterms:W3CDTF">2026-05-10T11:09:26Z</dcterms:modified>
</cp:coreProperties>
</file>